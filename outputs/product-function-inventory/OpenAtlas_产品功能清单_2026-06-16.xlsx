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2aa635083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8c8cfeec49f4d84"/>
    <x:sheet xmlns:r="http://schemas.openxmlformats.org/officeDocument/2006/relationships" name="功能清单" sheetId="2" r:id="R48c4817ed07c4114"/>
    <x:sheet xmlns:r="http://schemas.openxmlformats.org/officeDocument/2006/relationships" name="能力地图" sheetId="3" r:id="R58ac19061fa643bc"/>
    <x:sheet xmlns:r="http://schemas.openxmlformats.org/officeDocument/2006/relationships" name="路线图" sheetId="4" r:id="R8bff39f689c54e3c"/>
    <x:sheet xmlns:r="http://schemas.openxmlformats.org/officeDocument/2006/relationships" name="验收标准" sheetId="5" r:id="R366971bf7a4b4dd2"/>
    <x:sheet xmlns:r="http://schemas.openxmlformats.org/officeDocument/2006/relationships" name="文档来源" sheetId="6" r:id="R0e143b9ed430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Aptos Display"/>
    </x:font>
    <x:font>
      <x:sz val="11"/>
      <x:color rgb="FFEDE9FE"/>
      <x:name val="Aptos"/>
    </x:font>
    <x:font>
      <x:b/>
      <x:sz val="11"/>
      <x:color rgb="FFFFFFFF"/>
      <x:name val="Aptos"/>
    </x:font>
    <x:font>
      <x:b/>
      <x:sz val="10"/>
      <x:color rgb="FF111827"/>
      <x:name val="Aptos"/>
    </x:font>
    <x:font>
      <x:sz val="10"/>
      <x:color rgb="FF111827"/>
      <x:name val="Aptos"/>
    </x:font>
    <x:font>
      <x:b/>
      <x:sz val="10"/>
      <x:color rgb="FFEF4444"/>
      <x:name val="Aptos"/>
    </x:font>
    <x:font>
      <x:b/>
      <x:sz val="10"/>
      <x:color rgb="FFF59E0B"/>
      <x:name val="Aptos"/>
    </x:font>
    <x:font>
      <x:b/>
      <x:sz val="10"/>
      <x:color rgb="FF0EA5E9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1F2937"/>
      </x:patternFill>
    </x:fill>
    <x:fill>
      <x:patternFill patternType="solid">
        <x:fgColor rgb="FFFEF2F2"/>
      </x:patternFill>
    </x:fill>
    <x:fill>
      <x:patternFill patternType="solid">
        <x:fgColor rgb="FFFFFBEB"/>
      </x:patternFill>
    </x:fill>
    <x:fill>
      <x:patternFill patternType="solid">
        <x:fgColor rgb="FFECFDF5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3e258b32b4293" /><Relationship Type="http://schemas.openxmlformats.org/officeDocument/2006/relationships/theme" Target="/xl/theme/theme1.xml" Id="Rd73319a17a174ed3" /><Relationship Type="http://schemas.openxmlformats.org/officeDocument/2006/relationships/sharedStrings" Target="/xl/sharedStrings.xml" Id="R9c8e742c88c84757" /><Relationship Type="http://schemas.openxmlformats.org/officeDocument/2006/relationships/worksheet" Target="/xl/worksheets/sheet1.xml" Id="R98c8cfeec49f4d84" /><Relationship Type="http://schemas.openxmlformats.org/officeDocument/2006/relationships/worksheet" Target="/xl/worksheets/sheet2.xml" Id="R48c4817ed07c4114" /><Relationship Type="http://schemas.openxmlformats.org/officeDocument/2006/relationships/worksheet" Target="/xl/worksheets/sheet3.xml" Id="R58ac19061fa643bc" /><Relationship Type="http://schemas.openxmlformats.org/officeDocument/2006/relationships/worksheet" Target="/xl/worksheets/sheet4.xml" Id="R8bff39f689c54e3c" /><Relationship Type="http://schemas.openxmlformats.org/officeDocument/2006/relationships/worksheet" Target="/xl/worksheets/sheet5.xml" Id="R366971bf7a4b4dd2" /><Relationship Type="http://schemas.openxmlformats.org/officeDocument/2006/relationships/worksheet" Target="/xl/worksheets/sheet6.xml" Id="R0e143b9ed43041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1.11000061035156" hidden="0" customWidth="1"/>
    <x:col min="2" max="2" width="64.44000244140625" hidden="0" customWidth="1"/>
    <x:col min="4" max="4" width="9.4399995803833" hidden="0" customWidth="1"/>
    <x:col min="5" max="5" width="35.779998779296875" hidden="0" customWidth="1"/>
    <x:col min="6" max="6" width="15.220000267028809" hidden="0" customWidth="1"/>
  </x:cols>
  <x:sheetData>
    <x:row r="1" ht="21.600000381469727" hidden="0" customHeight="1">
      <x:c r="A1" s="4" t="str">
        <x:v>OpenAtlas 产品功能清单</x:v>
      </x:c>
      <x:c r="B1" s="4" t="str"/>
      <x:c r="C1" s="4" t="str"/>
      <x:c r="D1" s="4" t="str"/>
      <x:c r="E1" s="4" t="str"/>
      <x:c r="F1" s="4" t="str"/>
    </x:row>
    <x:row r="2" ht="15" hidden="0" customHeight="1">
      <x:c r="A2" s="8" t="str">
        <x:v>基于产品文档、演示手册、审计报告和近期主链路设计整理。版本日期：2026-06-16</x:v>
      </x:c>
      <x:c r="B2" s="8" t="str"/>
      <x:c r="C2" s="8" t="str"/>
      <x:c r="D2" s="8" t="str"/>
      <x:c r="E2" s="8" t="str"/>
      <x:c r="F2" s="8" t="str"/>
    </x:row>
    <x:row r="3"/>
    <x:row r="4" ht="15" hidden="0" customHeight="1">
      <x:c r="A4" s="19" t="str">
        <x:v>产品定位</x:v>
      </x:c>
      <x:c r="B4" s="19" t="str">
        <x:v>OpenAtlas 是可审计、可隔离、可交付的企业数智员工协作平台，不是普通聊天框。</x:v>
      </x:c>
      <x:c r="D4" s="14" t="str">
        <x:v>指标</x:v>
      </x:c>
      <x:c r="E4" s="14" t="str">
        <x:v>公式/口径</x:v>
      </x:c>
      <x:c r="F4" s="14" t="str">
        <x:v>当前目标</x:v>
      </x:c>
    </x:row>
    <x:row r="5" ht="15" hidden="0" customHeight="1">
      <x:c r="A5" s="20" t="str">
        <x:v>核心主线</x:v>
      </x:c>
      <x:c r="B5" s="20" t="str">
        <x:v>员工可用、能力可信、任务闭环、企业可管。</x:v>
      </x:c>
      <x:c r="D5" s="20" t="str">
        <x:v>功能总数</x:v>
      </x:c>
      <x:c r="E5" s="20" t="n">
        <x:f>COUNTA('功能清单'!C2:C200)</x:f>
        <x:v>46</x:v>
      </x:c>
      <x:c r="F5" s="20" t="str">
        <x:v>覆盖核心产品 Backlog</x:v>
      </x:c>
    </x:row>
    <x:row r="6" ht="15" hidden="0" customHeight="1">
      <x:c r="A6" s="20" t="str">
        <x:v>目标客户</x:v>
      </x:c>
      <x:c r="B6" s="20" t="str">
        <x:v>30-500 人成长型企业、业务部门负责人、企业服务/咨询公司。</x:v>
      </x:c>
      <x:c r="D6" s="20" t="str">
        <x:v>P0 功能数</x:v>
      </x:c>
      <x:c r="E6" s="20" t="n">
        <x:f>COUNTIF('功能清单'!E2:E200,"P0")</x:f>
        <x:v>31</x:v>
      </x:c>
      <x:c r="F6" s="20" t="str">
        <x:v>试点必需</x:v>
      </x:c>
    </x:row>
    <x:row r="7" ht="15" hidden="0" customHeight="1">
      <x:c r="A7" s="20" t="str">
        <x:v>用户关切</x:v>
      </x:c>
      <x:c r="B7" s="20" t="str">
        <x:v>数据是否隔离、回答是否可追溯、Skill 是否可控、结果是否可下载归档、成本与失败率是否可见。</x:v>
      </x:c>
      <x:c r="D7" s="20" t="str">
        <x:v>P1 功能数</x:v>
      </x:c>
      <x:c r="E7" s="20" t="n">
        <x:f>COUNTIF('功能清单'!E2:E200,"P1")</x:f>
        <x:v>14</x:v>
      </x:c>
      <x:c r="F7" s="20" t="str">
        <x:v>产品化增强</x:v>
      </x:c>
    </x:row>
    <x:row r="8" ht="15" hidden="0" customHeight="1">
      <x:c r="A8" s="20" t="str">
        <x:v>试点成功标准</x:v>
      </x:c>
      <x:c r="B8" s="20" t="str">
        <x:v>3 条核心流程连续跑 10 次；5 个真实用户完成 20 个任务；60% 以上交付物被下载或归档。</x:v>
      </x:c>
      <x:c r="D8" s="20" t="str">
        <x:v>P2 功能数</x:v>
      </x:c>
      <x:c r="E8" s="20" t="n">
        <x:f>COUNTIF('功能清单'!E2:E200,"P2")</x:f>
        <x:v>1</x:v>
      </x:c>
      <x:c r="F8" s="20" t="str">
        <x:v>规模化治理</x:v>
      </x:c>
    </x:row>
    <x:row r="9" ht="15" hidden="0" customHeight="1">
      <x:c r="A9" s="20" t="str">
        <x:v>产品边界</x:v>
      </x:c>
      <x:c r="B9" s="20" t="str">
        <x:v>不主打万能智能体，不把 Hermes 技术细节放销售第一页，不要求用户先学 Skill/Prompt。</x:v>
      </x:c>
      <x:c r="D9" s="20" t="str">
        <x:v>应补齐</x:v>
      </x:c>
      <x:c r="E9" s="20" t="n">
        <x:f>COUNTIF('功能清单'!G2:G200,"应补齐")</x:f>
        <x:v>7</x:v>
      </x:c>
      <x:c r="F9" s="20" t="str">
        <x:v>进入近期排期</x:v>
      </x:c>
    </x:row>
    <x:row r="10" ht="15" hidden="0" customHeight="1">
      <x:c r="D10" s="20" t="str">
        <x:v>需增强</x:v>
      </x:c>
      <x:c r="E10" s="20" t="n">
        <x:f>COUNTIF('功能清单'!G2:G200,"需增强")</x:f>
        <x:v>31</x:v>
      </x:c>
      <x:c r="F10" s="20" t="str">
        <x:v>体验与鲁棒性提升</x:v>
      </x:c>
    </x:row>
    <x:row r="11" ht="15" hidden="0" customHeight="1">
      <x:c r="D11" s="20" t="str">
        <x:v>已成型</x:v>
      </x:c>
      <x:c r="E11" s="20" t="n">
        <x:f>COUNTIF('功能清单'!G2:G200,"已成型")</x:f>
        <x:v>8</x:v>
      </x:c>
      <x:c r="F11" s="20" t="str">
        <x:v>已有能力继续维护</x:v>
      </x:c>
    </x:row>
    <x:row r="12" ht="15" hidden="0" customHeight="1">
      <x:c r="D12" s="20" t="str">
        <x:v>试点演示流</x:v>
      </x:c>
      <x:c r="E12" s="20" t="str">
        <x:v>经营分析、合同审查、销售方案、HR 招聘、会议纪要</x:v>
      </x:c>
      <x:c r="F12" s="20" t="str">
        <x:v>5 条</x:v>
      </x:c>
    </x:row>
    <x:row r="13" ht="15" hidden="0" customHeight="1">
      <x:c r="D13" s="20" t="str">
        <x:v>核心质量门禁</x:v>
      </x:c>
      <x:c r="E13" s="20" t="str">
        <x:v>API smoke、隔离 smoke、前端构建、Playwright E2E</x:v>
      </x:c>
      <x:c r="F13" s="20" t="str">
        <x:v>每次发版必跑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18" hidden="0" customWidth="1"/>
    <x:col min="3" max="3" width="180" hidden="0" customWidth="1"/>
    <x:col min="4" max="4" width="12.890000343322754" hidden="0" customWidth="1"/>
    <x:col min="5" max="5" width="5.329999923706055" hidden="0" customWidth="1"/>
    <x:col min="6" max="6" width="6.440000057220459" hidden="0" customWidth="1"/>
    <x:col min="7" max="7" width="7" hidden="0" customWidth="1"/>
    <x:col min="8" max="8" width="255" hidden="0" customWidth="1"/>
    <x:col min="9" max="9" width="255" hidden="0" customWidth="1"/>
    <x:col min="10" max="10" width="17.889999389648438" hidden="0" customWidth="1"/>
    <x:col min="11" max="11" width="18.440000534057617" hidden="0" customWidth="1"/>
  </x:cols>
  <x:sheetData>
    <x:row r="1" ht="26.399999618530273" hidden="0" customHeight="1">
      <x:c r="A1" s="14" t="str">
        <x:v>模块</x:v>
      </x:c>
      <x:c r="B1" s="14" t="str">
        <x:v>一级能力</x:v>
      </x:c>
      <x:c r="C1" s="14" t="str">
        <x:v>功能点</x:v>
      </x:c>
      <x:c r="D1" s="14" t="str">
        <x:v>目标用户</x:v>
      </x:c>
      <x:c r="E1" s="14" t="str">
        <x:v>优先级</x:v>
      </x:c>
      <x:c r="F1" s="14" t="str">
        <x:v>阶段</x:v>
      </x:c>
      <x:c r="G1" s="14" t="str">
        <x:v>状态建议</x:v>
      </x:c>
      <x:c r="H1" s="14" t="str">
        <x:v>关键说明</x:v>
      </x:c>
      <x:c r="I1" s="14" t="str">
        <x:v>验收标准</x:v>
      </x:c>
      <x:c r="J1" s="14" t="str">
        <x:v>依赖/数据</x:v>
      </x:c>
      <x:c r="K1" s="14" t="str">
        <x:v>文档来源</x:v>
      </x:c>
    </x:row>
    <x:row r="2" ht="15" hidden="0" customHeight="1">
      <x:c r="A2" s="20" t="str">
        <x:v>产品入口</x:v>
      </x:c>
      <x:c r="B2" s="20" t="str">
        <x:v>工作台首页</x:v>
      </x:c>
      <x:c r="C2" s="20" t="str">
        <x:v>业务任务输入框</x:v>
      </x:c>
      <x:c r="D2" s="20" t="str">
        <x:v>业务用户</x:v>
      </x:c>
      <x:c r="E2" s="22" t="str">
        <x:v>P0</x:v>
      </x:c>
      <x:c r="F2" s="20" t="str">
        <x:v>试点可用</x:v>
      </x:c>
      <x:c r="G2" s="23" t="str">
        <x:v>需增强</x:v>
      </x:c>
      <x:c r="H2" s="20" t="str">
        <x:v>首页从业务任务出发，不要求用户先理解 Prompt 或 Skill。</x:v>
      </x:c>
      <x:c r="I2" s="20" t="str">
        <x:v>用户输入 Query 后能创建/进入正确会话，标题使用 Query 摘要。</x:v>
      </x:c>
      <x:c r="J2" s="20" t="str">
        <x:v>会话 API、员工默认路由</x:v>
      </x:c>
      <x:c r="K2" s="20" t="str">
        <x:v>Content Pack L102-L107</x:v>
      </x:c>
    </x:row>
    <x:row r="3" ht="15" hidden="0" customHeight="1">
      <x:c r="A3" s="20" t="str">
        <x:v>产品入口</x:v>
      </x:c>
      <x:c r="B3" s="20" t="str">
        <x:v>工作台首页</x:v>
      </x:c>
      <x:c r="C3" s="20" t="str">
        <x:v>数智员工快捷 Dock</x:v>
      </x:c>
      <x:c r="D3" s="20" t="str">
        <x:v>业务用户</x:v>
      </x:c>
      <x:c r="E3" s="22" t="str">
        <x:v>P0</x:v>
      </x:c>
      <x:c r="F3" s="20" t="str">
        <x:v>试点可用</x:v>
      </x:c>
      <x:c r="G3" s="23" t="str">
        <x:v>需增强</x:v>
      </x:c>
      <x:c r="H3" s="20" t="str">
        <x:v>展示高频员工入口，支持用户自定义显示/隐藏。</x:v>
      </x:c>
      <x:c r="I3" s="20" t="str">
        <x:v>用户能一键进入员工专属会话或进入编排。</x:v>
      </x:c>
      <x:c r="J3" s="20" t="str">
        <x:v>员工列表、偏好存储</x:v>
      </x:c>
      <x:c r="K3" s="20" t="str">
        <x:v>Content Pack L12</x:v>
      </x:c>
    </x:row>
    <x:row r="4" ht="15" hidden="0" customHeight="1">
      <x:c r="A4" s="20" t="str">
        <x:v>产品入口</x:v>
      </x:c>
      <x:c r="B4" s="20" t="str">
        <x:v>工作台首页</x:v>
      </x:c>
      <x:c r="C4" s="20" t="str">
        <x:v>继续任务入口</x:v>
      </x:c>
      <x:c r="D4" s="20" t="str">
        <x:v>业务用户</x:v>
      </x:c>
      <x:c r="E4" s="22" t="str">
        <x:v>P0</x:v>
      </x:c>
      <x:c r="F4" s="20" t="str">
        <x:v>试点可用</x:v>
      </x:c>
      <x:c r="G4" s="23" t="str">
        <x:v>需增强</x:v>
      </x:c>
      <x:c r="H4" s="20" t="str">
        <x:v>首页可快速回到历史会话和运行中任务。</x:v>
      </x:c>
      <x:c r="I4" s="20" t="str">
        <x:v>继续任务只展示当前用户可见会话，全部历史入口清晰可点。</x:v>
      </x:c>
      <x:c r="J4" s="20" t="str">
        <x:v>会话列表、任务状态</x:v>
      </x:c>
      <x:c r="K4" s="20" t="str">
        <x:v>Power Audit L19-L21</x:v>
      </x:c>
    </x:row>
    <x:row r="5" ht="15" hidden="0" customHeight="1">
      <x:c r="A5" s="20" t="str">
        <x:v>产品入口</x:v>
      </x:c>
      <x:c r="B5" s="20" t="str">
        <x:v>视觉体验</x:v>
      </x:c>
      <x:c r="C5" s="20" t="str">
        <x:v>Atlas 品牌氛围与深浅色模式</x:v>
      </x:c>
      <x:c r="D5" s="20" t="str">
        <x:v>业务用户</x:v>
      </x:c>
      <x:c r="E5" s="24" t="str">
        <x:v>P1</x:v>
      </x:c>
      <x:c r="F5" s="20" t="str">
        <x:v>产品化</x:v>
      </x:c>
      <x:c r="G5" s="23" t="str">
        <x:v>需增强</x:v>
      </x:c>
      <x:c r="H5" s="20" t="str">
        <x:v>保留克制科技感，避免装饰影响主任务。</x:v>
      </x:c>
      <x:c r="I5" s="20" t="str">
        <x:v>深浅色模式下标题、Orb、输入框、Dock 均可读。</x:v>
      </x:c>
      <x:c r="J5" s="20" t="str">
        <x:v>Design tokens</x:v>
      </x:c>
      <x:c r="K5" s="20" t="str">
        <x:v>近期 UI 评审</x:v>
      </x:c>
    </x:row>
    <x:row r="6" ht="15" hidden="0" customHeight="1">
      <x:c r="A6" s="20" t="str">
        <x:v>数智员工</x:v>
      </x:c>
      <x:c r="B6" s="20" t="str">
        <x:v>员工目录</x:v>
      </x:c>
      <x:c r="C6" s="20" t="str">
        <x:v>内置企业高频员工</x:v>
      </x:c>
      <x:c r="D6" s="20" t="str">
        <x:v>业务用户/管理员</x:v>
      </x:c>
      <x:c r="E6" s="22" t="str">
        <x:v>P0</x:v>
      </x:c>
      <x:c r="F6" s="20" t="str">
        <x:v>试点可用</x:v>
      </x:c>
      <x:c r="G6" s="23" t="str">
        <x:v>需增强</x:v>
      </x:c>
      <x:c r="H6" s="20" t="str">
        <x:v>内置文档、财务、法务、销售、市场、HR、运营、项目 8 类员工。</x:v>
      </x:c>
      <x:c r="I6" s="20" t="str">
        <x:v>员工列表清晰展示角色、能力、状态、绑定 Skill。</x:v>
      </x:c>
      <x:c r="J6" s="20" t="str">
        <x:v>员工表、Skill 绑定</x:v>
      </x:c>
      <x:c r="K6" s="20" t="str">
        <x:v>Catalog L5-L93</x:v>
      </x:c>
    </x:row>
    <x:row r="7" ht="15" hidden="0" customHeight="1">
      <x:c r="A7" s="20" t="str">
        <x:v>数智员工</x:v>
      </x:c>
      <x:c r="B7" s="20" t="str">
        <x:v>员工创建</x:v>
      </x:c>
      <x:c r="C7" s="20" t="str">
        <x:v>新建员工并绑定初始 Skill</x:v>
      </x:c>
      <x:c r="D7" s="20" t="str">
        <x:v>管理员</x:v>
      </x:c>
      <x:c r="E7" s="22" t="str">
        <x:v>P0</x:v>
      </x:c>
      <x:c r="F7" s="20" t="str">
        <x:v>试点可用</x:v>
      </x:c>
      <x:c r="G7" s="23" t="str">
        <x:v>需增强</x:v>
      </x:c>
      <x:c r="H7" s="20" t="str">
        <x:v>创建员工时通过弹窗选择已维护且启用的 Skill。</x:v>
      </x:c>
      <x:c r="I7" s="20" t="str">
        <x:v>保存后员工详情可见 Skill，聊天上下文能显示实际注入 Skill。</x:v>
      </x:c>
      <x:c r="J7" s="20" t="str">
        <x:v>Skill Market、绑定 API</x:v>
      </x:c>
      <x:c r="K7" s="20" t="str">
        <x:v>Catalog L95-L151</x:v>
      </x:c>
    </x:row>
    <x:row r="8" ht="15" hidden="0" customHeight="1">
      <x:c r="A8" s="20" t="str">
        <x:v>数智员工</x:v>
      </x:c>
      <x:c r="B8" s="20" t="str">
        <x:v>员工详情</x:v>
      </x:c>
      <x:c r="C8" s="20" t="str">
        <x:v>系统 Prompt 与模型配置</x:v>
      </x:c>
      <x:c r="D8" s="20" t="str">
        <x:v>管理员</x:v>
      </x:c>
      <x:c r="E8" s="24" t="str">
        <x:v>P1</x:v>
      </x:c>
      <x:c r="F8" s="20" t="str">
        <x:v>产品化</x:v>
      </x:c>
      <x:c r="G8" s="23" t="str">
        <x:v>需增强</x:v>
      </x:c>
      <x:c r="H8" s="20" t="str">
        <x:v>Prompt 应短、清晰、可执行；可配置模型、temperature、max tokens。</x:v>
      </x:c>
      <x:c r="I8" s="20" t="str">
        <x:v>修改后只影响对应员工，审计记录可追踪。</x:v>
      </x:c>
      <x:c r="J8" s="20" t="str">
        <x:v>员工详情 API、审计</x:v>
      </x:c>
      <x:c r="K8" s="20" t="str">
        <x:v>Spec2 EmployeeDetail</x:v>
      </x:c>
    </x:row>
    <x:row r="9" ht="15" hidden="0" customHeight="1">
      <x:c r="A9" s="20" t="str">
        <x:v>数智员工</x:v>
      </x:c>
      <x:c r="B9" s="20" t="str">
        <x:v>员工权限</x:v>
      </x:c>
      <x:c r="C9" s="20" t="str">
        <x:v>员工可用工具/Skill 边界</x:v>
      </x:c>
      <x:c r="D9" s="20" t="str">
        <x:v>管理员</x:v>
      </x:c>
      <x:c r="E9" s="22" t="str">
        <x:v>P0</x:v>
      </x:c>
      <x:c r="F9" s="20" t="str">
        <x:v>试点可用</x:v>
      </x:c>
      <x:c r="G9" s="21" t="str">
        <x:v>应补齐</x:v>
      </x:c>
      <x:c r="H9" s="20" t="str">
        <x:v>员工只能使用被授权的工具集、Skill 和记忆。</x:v>
      </x:c>
      <x:c r="I9" s="20" t="str">
        <x:v>跨员工/跨用户/跨租户不可见，越权返回 403/404。</x:v>
      </x:c>
      <x:c r="J9" s="20" t="str">
        <x:v>权限模型、resolver</x:v>
      </x:c>
      <x:c r="K9" s="20" t="str">
        <x:v>Review P0/P1</x:v>
      </x:c>
    </x:row>
    <x:row r="10" ht="15" hidden="0" customHeight="1">
      <x:c r="A10" s="20" t="str">
        <x:v>Skill</x:v>
      </x:c>
      <x:c r="B10" s="20" t="str">
        <x:v>Skill Market</x:v>
      </x:c>
      <x:c r="C10" s="20" t="str">
        <x:v>能力说明与风险等级</x:v>
      </x:c>
      <x:c r="D10" s="20" t="str">
        <x:v>管理员/业务负责人</x:v>
      </x:c>
      <x:c r="E10" s="22" t="str">
        <x:v>P0</x:v>
      </x:c>
      <x:c r="F10" s="20" t="str">
        <x:v>试点可用</x:v>
      </x:c>
      <x:c r="G10" s="23" t="str">
        <x:v>需增强</x:v>
      </x:c>
      <x:c r="H10" s="20" t="str">
        <x:v>展示业务说明、输入输出示例、适用员工、风险等级、版本和健康状态。</x:v>
      </x:c>
      <x:c r="I10" s="20" t="str">
        <x:v>用户能理解 Skill 会给员工带来什么能力。</x:v>
      </x:c>
      <x:c r="J10" s="20" t="str">
        <x:v>Skill 元数据</x:v>
      </x:c>
      <x:c r="K10" s="20" t="str">
        <x:v>Demo Runbook L186-L188</x:v>
      </x:c>
    </x:row>
    <x:row r="11" ht="15" hidden="0" customHeight="1">
      <x:c r="A11" s="20" t="str">
        <x:v>Skill</x:v>
      </x:c>
      <x:c r="B11" s="20" t="str">
        <x:v>Hermes Skills</x:v>
      </x:c>
      <x:c r="C11" s="20" t="str">
        <x:v>Skills Hub 搜索与安装筛选</x:v>
      </x:c>
      <x:c r="D11" s="20" t="str">
        <x:v>管理员</x:v>
      </x:c>
      <x:c r="E11" s="22" t="str">
        <x:v>P0</x:v>
      </x:c>
      <x:c r="F11" s="20" t="str">
        <x:v>试点可用</x:v>
      </x:c>
      <x:c r="G11" s="23" t="str">
        <x:v>需增强</x:v>
      </x:c>
      <x:c r="H11" s="20" t="str">
        <x:v>搜索结果只展示 Hermes 可 fetch/install 或来源可解释的 Skill。</x:v>
      </x:c>
      <x:c r="I11" s="20" t="str">
        <x:v>Hermes CLI 不存在的 skill 不显示为可安装成功。</x:v>
      </x:c>
      <x:c r="J11" s="20" t="str">
        <x:v>Hermes CLI、Skills Hub</x:v>
      </x:c>
      <x:c r="K11" s="20" t="str">
        <x:v>Robustness L145-L154</x:v>
      </x:c>
    </x:row>
    <x:row r="12" ht="15" hidden="0" customHeight="1">
      <x:c r="A12" s="20" t="str">
        <x:v>Skill</x:v>
      </x:c>
      <x:c r="B12" s="20" t="str">
        <x:v>绑定/解绑</x:v>
      </x:c>
      <x:c r="C12" s="20" t="str">
        <x:v>员工详情页绑定和解绑 Skill</x:v>
      </x:c>
      <x:c r="D12" s="20" t="str">
        <x:v>管理员</x:v>
      </x:c>
      <x:c r="E12" s="22" t="str">
        <x:v>P0</x:v>
      </x:c>
      <x:c r="F12" s="20" t="str">
        <x:v>试点可用</x:v>
      </x:c>
      <x:c r="G12" s="23" t="str">
        <x:v>需增强</x:v>
      </x:c>
      <x:c r="H12" s="20" t="str">
        <x:v>不只创建员工时绑定，员工详情页也能维护。</x:v>
      </x:c>
      <x:c r="I12" s="20" t="str">
        <x:v>绑定影响提示明确；解绑后聊天不再注入。</x:v>
      </x:c>
      <x:c r="J12" s="20" t="str">
        <x:v>SkillBinding</x:v>
      </x:c>
      <x:c r="K12" s="20" t="str">
        <x:v>Session Log P3.9</x:v>
      </x:c>
    </x:row>
    <x:row r="13" ht="15" hidden="0" customHeight="1">
      <x:c r="A13" s="20" t="str">
        <x:v>Skill</x:v>
      </x:c>
      <x:c r="B13" s="20" t="str">
        <x:v>健康检查</x:v>
      </x:c>
      <x:c r="C13" s="20" t="str">
        <x:v>安装、调用、失败率、最近错误</x:v>
      </x:c>
      <x:c r="D13" s="20" t="str">
        <x:v>管理员</x:v>
      </x:c>
      <x:c r="E13" s="24" t="str">
        <x:v>P1</x:v>
      </x:c>
      <x:c r="F13" s="20" t="str">
        <x:v>产品化</x:v>
      </x:c>
      <x:c r="G13" s="21" t="str">
        <x:v>应补齐</x:v>
      </x:c>
      <x:c r="H13" s="20" t="str">
        <x:v>管理员能判断 Skill 不是黑盒。</x:v>
      </x:c>
      <x:c r="I13" s="20" t="str">
        <x:v>Skill 健康页显示安装状态、调用失败率、最近错误。</x:v>
      </x:c>
      <x:c r="J13" s="20" t="str">
        <x:v>runtime logs、audit</x:v>
      </x:c>
      <x:c r="K13" s="20" t="str">
        <x:v>Content Pack L13</x:v>
      </x:c>
    </x:row>
    <x:row r="14" ht="15" hidden="0" customHeight="1">
      <x:c r="A14" s="20" t="str">
        <x:v>对话</x:v>
      </x:c>
      <x:c r="B14" s="20" t="str">
        <x:v>流式聊天</x:v>
      </x:c>
      <x:c r="C14" s="20" t="str">
        <x:v>真实 Hermes Chat Stream</x:v>
      </x:c>
      <x:c r="D14" s="20" t="str">
        <x:v>业务用户</x:v>
      </x:c>
      <x:c r="E14" s="22" t="str">
        <x:v>P0</x:v>
      </x:c>
      <x:c r="F14" s="20" t="str">
        <x:v>试点可用</x:v>
      </x:c>
      <x:c r="G14" s="23" t="str">
        <x:v>需增强</x:v>
      </x:c>
      <x:c r="H14" s="20" t="str">
        <x:v>稳定返回真实模型输出，支持工具事件、思考摘要、完成事件。</x:v>
      </x:c>
      <x:c r="I14" s="20" t="str">
        <x:v>发消息后 assistant 回复在当前会话出现，输入框最终恢复。</x:v>
      </x:c>
      <x:c r="J14" s="20" t="str">
        <x:v>Hermes Gateway、SSE</x:v>
      </x:c>
      <x:c r="K14" s="20" t="str">
        <x:v>Delivery P3.11 L176-L199</x:v>
      </x:c>
    </x:row>
    <x:row r="15" ht="15" hidden="0" customHeight="1">
      <x:c r="A15" s="20" t="str">
        <x:v>对话</x:v>
      </x:c>
      <x:c r="B15" s="20" t="str">
        <x:v>工具事件</x:v>
      </x:c>
      <x:c r="C15" s="20" t="str">
        <x:v>工具调用面板</x:v>
      </x:c>
      <x:c r="D15" s="20" t="str">
        <x:v>业务用户/管理员</x:v>
      </x:c>
      <x:c r="E15" s="22" t="str">
        <x:v>P0</x:v>
      </x:c>
      <x:c r="F15" s="20" t="str">
        <x:v>试点可用</x:v>
      </x:c>
      <x:c r="G15" s="23" t="str">
        <x:v>需增强</x:v>
      </x:c>
      <x:c r="H15" s="20" t="str">
        <x:v>展示工具 started/progress/completed/failed。</x:v>
      </x:c>
      <x:c r="I15" s="20" t="str">
        <x:v>用户能看到当前做了什么，失败时显示错误与重试建议。</x:v>
      </x:c>
      <x:c r="J15" s="20" t="str">
        <x:v>SSE run events</x:v>
      </x:c>
      <x:c r="K15" s="20" t="str">
        <x:v>Spec2 StreamRenderer</x:v>
      </x:c>
    </x:row>
    <x:row r="16" ht="15" hidden="0" customHeight="1">
      <x:c r="A16" s="20" t="str">
        <x:v>对话</x:v>
      </x:c>
      <x:c r="B16" s="20" t="str">
        <x:v>思考/审批</x:v>
      </x:c>
      <x:c r="C16" s="20" t="str">
        <x:v>思考摘要与人工确认状态</x:v>
      </x:c>
      <x:c r="D16" s="20" t="str">
        <x:v>业务用户</x:v>
      </x:c>
      <x:c r="E16" s="24" t="str">
        <x:v>P1</x:v>
      </x:c>
      <x:c r="F16" s="20" t="str">
        <x:v>产品化</x:v>
      </x:c>
      <x:c r="G16" s="23" t="str">
        <x:v>需增强</x:v>
      </x:c>
      <x:c r="H16" s="20" t="str">
        <x:v>对高危或不确定动作展示审批卡片，不应静默失败。</x:v>
      </x:c>
      <x:c r="I16" s="20" t="str">
        <x:v>需要授权的 terminal/execute_code 会暂停等待一次/本会话/始终/拒绝。</x:v>
      </x:c>
      <x:c r="J16" s="20" t="str">
        <x:v>Hermes approval events</x:v>
      </x:c>
      <x:c r="K16" s="20" t="str">
        <x:v>近期对标讨论</x:v>
      </x:c>
    </x:row>
    <x:row r="17" ht="15" hidden="0" customHeight="1">
      <x:c r="A17" s="20" t="str">
        <x:v>对话</x:v>
      </x:c>
      <x:c r="B17" s="20" t="str">
        <x:v>会话隔离</x:v>
      </x:c>
      <x:c r="C17" s="20" t="str">
        <x:v>切换会话不串流</x:v>
      </x:c>
      <x:c r="D17" s="20" t="str">
        <x:v>业务用户</x:v>
      </x:c>
      <x:c r="E17" s="22" t="str">
        <x:v>P0</x:v>
      </x:c>
      <x:c r="F17" s="20" t="str">
        <x:v>试点可用</x:v>
      </x:c>
      <x:c r="G17" s="25" t="str">
        <x:v>已成型</x:v>
      </x:c>
      <x:c r="H17" s="20" t="str">
        <x:v>A 会话生成时切到 B，会话内容不能串。</x:v>
      </x:c>
      <x:c r="I17" s="20" t="str">
        <x:v>SSE chunk 必须落入 openatlas_session_id 对应会话桶。</x:v>
      </x:c>
      <x:c r="J17" s="20" t="str">
        <x:v>session id mapping</x:v>
      </x:c>
      <x:c r="K17" s="20" t="str">
        <x:v>Bug Sweep / P3.12</x:v>
      </x:c>
    </x:row>
    <x:row r="18" ht="15" hidden="0" customHeight="1">
      <x:c r="A18" s="20" t="str">
        <x:v>对话</x:v>
      </x:c>
      <x:c r="B18" s="20" t="str">
        <x:v>会话右键菜单</x:v>
      </x:c>
      <x:c r="C18" s="20" t="str">
        <x:v>重命名、置顶、工作区、模型、导出</x:v>
      </x:c>
      <x:c r="D18" s="20" t="str">
        <x:v>业务用户</x:v>
      </x:c>
      <x:c r="E18" s="24" t="str">
        <x:v>P1</x:v>
      </x:c>
      <x:c r="F18" s="20" t="str">
        <x:v>产品化</x:v>
      </x:c>
      <x:c r="G18" s="23" t="str">
        <x:v>需增强</x:v>
      </x:c>
      <x:c r="H18" s="20" t="str">
        <x:v>企业产品高频管理入口。</x:v>
      </x:c>
      <x:c r="I18" s="20" t="str">
        <x:v>右键菜单操作生效并审计关键变更。</x:v>
      </x:c>
      <x:c r="J18" s="20" t="str">
        <x:v>会话 PATCH、导出 API</x:v>
      </x:c>
      <x:c r="K18" s="20" t="str">
        <x:v>用户需求讨论</x:v>
      </x:c>
    </x:row>
    <x:row r="19" ht="15" hidden="0" customHeight="1">
      <x:c r="A19" s="20" t="str">
        <x:v>文件</x:v>
      </x:c>
      <x:c r="B19" s="20" t="str">
        <x:v>上传与解析</x:v>
      </x:c>
      <x:c r="C19" s="20" t="str">
        <x:v>DOCX/PDF/Excel/PPT/TXT/Markdown 统一 extractor</x:v>
      </x:c>
      <x:c r="D19" s="20" t="str">
        <x:v>业务用户</x:v>
      </x:c>
      <x:c r="E19" s="22" t="str">
        <x:v>P0</x:v>
      </x:c>
      <x:c r="F19" s="20" t="str">
        <x:v>试点可用</x:v>
      </x:c>
      <x:c r="G19" s="23" t="str">
        <x:v>需增强</x:v>
      </x:c>
      <x:c r="H19" s="20" t="str">
        <x:v>上传文件后模型能读取内容，不再说看不到文件。</x:v>
      </x:c>
      <x:c r="I19" s="20" t="str">
        <x:v>每类文件上传后可生成摘要和引用片段。</x:v>
      </x:c>
      <x:c r="J19" s="20" t="str">
        <x:v>文件服务、extractor</x:v>
      </x:c>
      <x:c r="K19" s="20" t="str">
        <x:v>Catalog L97-L103</x:v>
      </x:c>
    </x:row>
    <x:row r="20" ht="15" hidden="0" customHeight="1">
      <x:c r="A20" s="20" t="str">
        <x:v>文件</x:v>
      </x:c>
      <x:c r="B20" s="20" t="str">
        <x:v>上下文注入</x:v>
      </x:c>
      <x:c r="C20" s="20" t="str">
        <x:v>本轮已注入文件片段展示</x:v>
      </x:c>
      <x:c r="D20" s="20" t="str">
        <x:v>业务用户/管理员</x:v>
      </x:c>
      <x:c r="E20" s="22" t="str">
        <x:v>P0</x:v>
      </x:c>
      <x:c r="F20" s="20" t="str">
        <x:v>试点可用</x:v>
      </x:c>
      <x:c r="G20" s="23" t="str">
        <x:v>需增强</x:v>
      </x:c>
      <x:c r="H20" s="20" t="str">
        <x:v>右侧上下文显示附件、片段、提取字数、来源。</x:v>
      </x:c>
      <x:c r="I20" s="20" t="str">
        <x:v>回答可以追溯到文件片段，用户能下载/删除附件。</x:v>
      </x:c>
      <x:c r="J20" s="20" t="str">
        <x:v>FileAsset、context builder</x:v>
      </x:c>
      <x:c r="K20" s="20" t="str">
        <x:v>Power Audit L18</x:v>
      </x:c>
    </x:row>
    <x:row r="21" ht="15" hidden="0" customHeight="1">
      <x:c r="A21" s="20" t="str">
        <x:v>文件</x:v>
      </x:c>
      <x:c r="B21" s="20" t="str">
        <x:v>文件隔离</x:v>
      </x:c>
      <x:c r="C21" s="20" t="str">
        <x:v>租户/用户/会话文件隔离</x:v>
      </x:c>
      <x:c r="D21" s="20" t="str">
        <x:v>管理员</x:v>
      </x:c>
      <x:c r="E21" s="22" t="str">
        <x:v>P0</x:v>
      </x:c>
      <x:c r="F21" s="20" t="str">
        <x:v>试点可用</x:v>
      </x:c>
      <x:c r="G21" s="25" t="str">
        <x:v>已成型</x:v>
      </x:c>
      <x:c r="H21" s="20" t="str">
        <x:v>文件按租户、用户、会话存储和校验。</x:v>
      </x:c>
      <x:c r="I21" s="20" t="str">
        <x:v>跨租户/跨用户访问文件返回 403/404。</x:v>
      </x:c>
      <x:c r="J21" s="20" t="str">
        <x:v>权限校验、存储路径</x:v>
      </x:c>
      <x:c r="K21" s="20" t="str">
        <x:v>Demo Runbook L190-L192</x:v>
      </x:c>
    </x:row>
    <x:row r="22" ht="15" hidden="0" customHeight="1">
      <x:c r="A22" s="20" t="str">
        <x:v>文件</x:v>
      </x:c>
      <x:c r="B22" s="20" t="str">
        <x:v>生命周期</x:v>
      </x:c>
      <x:c r="C22" s="20" t="str">
        <x:v>附件列表、删除、过期机制</x:v>
      </x:c>
      <x:c r="D22" s="20" t="str">
        <x:v>业务用户/管理员</x:v>
      </x:c>
      <x:c r="E22" s="24" t="str">
        <x:v>P1</x:v>
      </x:c>
      <x:c r="F22" s="20" t="str">
        <x:v>产品化</x:v>
      </x:c>
      <x:c r="G22" s="21" t="str">
        <x:v>应补齐</x:v>
      </x:c>
      <x:c r="H22" s="20" t="str">
        <x:v>避免文件长期堆积和权限漂移。</x:v>
      </x:c>
      <x:c r="I22" s="20" t="str">
        <x:v>删除后不再注入；过期文件在列表标记。</x:v>
      </x:c>
      <x:c r="J22" s="20" t="str">
        <x:v>file retention policy</x:v>
      </x:c>
      <x:c r="K22" s="20" t="str">
        <x:v>Robustness 建议</x:v>
      </x:c>
    </x:row>
    <x:row r="23" ht="15" hidden="0" customHeight="1">
      <x:c r="A23" s="20" t="str">
        <x:v>记忆</x:v>
      </x:c>
      <x:c r="B23" s="20" t="str">
        <x:v>记忆中心</x:v>
      </x:c>
      <x:c r="C23" s="20" t="str">
        <x:v>用户/员工/租户/全局记忆</x:v>
      </x:c>
      <x:c r="D23" s="20" t="str">
        <x:v>业务用户/管理员</x:v>
      </x:c>
      <x:c r="E23" s="22" t="str">
        <x:v>P0</x:v>
      </x:c>
      <x:c r="F23" s="20" t="str">
        <x:v>试点可用</x:v>
      </x:c>
      <x:c r="G23" s="23" t="str">
        <x:v>需增强</x:v>
      </x:c>
      <x:c r="H23" s="20" t="str">
        <x:v>共享记忆和个人记忆要分层，锁定记忆不可改。</x:v>
      </x:c>
      <x:c r="I23" s="20" t="str">
        <x:v>个人用户只能编辑自己的记忆，管理员可看租户记忆。</x:v>
      </x:c>
      <x:c r="J23" s="20" t="str">
        <x:v>MemoryEntry、RBAC</x:v>
      </x:c>
      <x:c r="K23" s="20" t="str">
        <x:v>Review P0/P1</x:v>
      </x:c>
    </x:row>
    <x:row r="24" ht="15" hidden="0" customHeight="1">
      <x:c r="A24" s="20" t="str">
        <x:v>记忆</x:v>
      </x:c>
      <x:c r="B24" s="20" t="str">
        <x:v>记忆注入</x:v>
      </x:c>
      <x:c r="C24" s="20" t="str">
        <x:v>Effective Memory Resolver</x:v>
      </x:c>
      <x:c r="D24" s="20" t="str">
        <x:v>业务用户/管理员</x:v>
      </x:c>
      <x:c r="E24" s="22" t="str">
        <x:v>P0</x:v>
      </x:c>
      <x:c r="F24" s="20" t="str">
        <x:v>试点可用</x:v>
      </x:c>
      <x:c r="G24" s="23" t="str">
        <x:v>需增强</x:v>
      </x:c>
      <x:c r="H24" s="20" t="str">
        <x:v>按绑定、优先级、作用域、token 上限选择记忆。</x:v>
      </x:c>
      <x:c r="I24" s="20" t="str">
        <x:v>右侧上下文显示实际注入记忆，不泄露非授权内容。</x:v>
      </x:c>
      <x:c r="J24" s="20" t="str">
        <x:v>MemoryBinding</x:v>
      </x:c>
      <x:c r="K24" s="20" t="str">
        <x:v>Review P0/P1</x:v>
      </x:c>
    </x:row>
    <x:row r="25" ht="15" hidden="0" customHeight="1">
      <x:c r="A25" s="20" t="str">
        <x:v>记忆</x:v>
      </x:c>
      <x:c r="B25" s="20" t="str">
        <x:v>记忆审计</x:v>
      </x:c>
      <x:c r="C25" s="20" t="str">
        <x:v>记忆修改和注入审计</x:v>
      </x:c>
      <x:c r="D25" s="20" t="str">
        <x:v>管理员</x:v>
      </x:c>
      <x:c r="E25" s="24" t="str">
        <x:v>P1</x:v>
      </x:c>
      <x:c r="F25" s="20" t="str">
        <x:v>产品化</x:v>
      </x:c>
      <x:c r="G25" s="23" t="str">
        <x:v>需增强</x:v>
      </x:c>
      <x:c r="H25" s="20" t="str">
        <x:v>谁改了什么记忆、何时注入到哪次会话要可追溯。</x:v>
      </x:c>
      <x:c r="I25" s="20" t="str">
        <x:v>审计日志可按记忆、会话、员工过滤。</x:v>
      </x:c>
      <x:c r="J25" s="20" t="str">
        <x:v>AuditLog</x:v>
      </x:c>
      <x:c r="K25" s="20" t="str">
        <x:v>Delivery P3.11</x:v>
      </x:c>
    </x:row>
    <x:row r="26" ht="15" hidden="0" customHeight="1">
      <x:c r="A26" s="20" t="str">
        <x:v>协作</x:v>
      </x:c>
      <x:c r="B26" s="20" t="str">
        <x:v>群聊接力</x:v>
      </x:c>
      <x:c r="C26" s="20" t="str">
        <x:v>多员工顺序接力执行</x:v>
      </x:c>
      <x:c r="D26" s="20" t="str">
        <x:v>业务用户</x:v>
      </x:c>
      <x:c r="E26" s="22" t="str">
        <x:v>P0</x:v>
      </x:c>
      <x:c r="F26" s="20" t="str">
        <x:v>试点可用</x:v>
      </x:c>
      <x:c r="G26" s="25" t="str">
        <x:v>已成型</x:v>
      </x:c>
      <x:c r="H26" s="20" t="str">
        <x:v>按 primary + relay_employee_ids 顺序调用，并带 speaker 渲染。</x:v>
      </x:c>
      <x:c r="I26" s="20" t="str">
        <x:v>SSE 包含 speaker_employee_id/name/turn_index。</x:v>
      </x:c>
      <x:c r="J26" s="20" t="str">
        <x:v>session participants</x:v>
      </x:c>
      <x:c r="K26" s="20" t="str">
        <x:v>用户需求与实现</x:v>
      </x:c>
    </x:row>
    <x:row r="27" ht="15" hidden="0" customHeight="1">
      <x:c r="A27" s="20" t="str">
        <x:v>协作</x:v>
      </x:c>
      <x:c r="B27" s="20" t="str">
        <x:v>协作画布</x:v>
      </x:c>
      <x:c r="C27" s="20" t="str">
        <x:v>节点编排与属性配置</x:v>
      </x:c>
      <x:c r="D27" s="20" t="str">
        <x:v>业务用户/管理员</x:v>
      </x:c>
      <x:c r="E27" s="22" t="str">
        <x:v>P0</x:v>
      </x:c>
      <x:c r="F27" s="20" t="str">
        <x:v>试点可用</x:v>
      </x:c>
      <x:c r="G27" s="23" t="str">
        <x:v>需增强</x:v>
      </x:c>
      <x:c r="H27" s="20" t="str">
        <x:v>画布可添加员工、配置角色、Skill、输出类型、失败策略、节点提示。</x:v>
      </x:c>
      <x:c r="I27" s="20" t="str">
        <x:v>新增节点自动打开属性面板，保存状态可见。</x:v>
      </x:c>
      <x:c r="J27" s="20" t="str">
        <x:v>canvas_state</x:v>
      </x:c>
      <x:c r="K27" s="20" t="str">
        <x:v>Canvas Report</x:v>
      </x:c>
    </x:row>
    <x:row r="28" ht="15" hidden="0" customHeight="1">
      <x:c r="A28" s="20" t="str">
        <x:v>协作</x:v>
      </x:c>
      <x:c r="B28" s="20" t="str">
        <x:v>协作方案</x:v>
      </x:c>
      <x:c r="C28" s="20" t="str">
        <x:v>保存和复用协作方案</x:v>
      </x:c>
      <x:c r="D28" s="20" t="str">
        <x:v>业务用户/管理员</x:v>
      </x:c>
      <x:c r="E28" s="22" t="str">
        <x:v>P0</x:v>
      </x:c>
      <x:c r="F28" s="20" t="str">
        <x:v>试点可用</x:v>
      </x:c>
      <x:c r="G28" s="25" t="str">
        <x:v>已成型</x:v>
      </x:c>
      <x:c r="H28" s="20" t="str">
        <x:v>协作方案包含员工链路、节点配置、默认提示、失败策略。</x:v>
      </x:c>
      <x:c r="I28" s="20" t="str">
        <x:v>保存后方案库可见，使用方案能创建新会话并恢复画布。</x:v>
      </x:c>
      <x:c r="J28" s="20" t="str">
        <x:v>CollaborationTemplate</x:v>
      </x:c>
      <x:c r="K28" s="20" t="str">
        <x:v>Canvas Report</x:v>
      </x:c>
    </x:row>
    <x:row r="29" ht="15" hidden="0" customHeight="1">
      <x:c r="A29" s="20" t="str">
        <x:v>协作</x:v>
      </x:c>
      <x:c r="B29" s="20" t="str">
        <x:v>执行可视化</x:v>
      </x:c>
      <x:c r="C29" s="20" t="str">
        <x:v>进度、状态机、事件回放</x:v>
      </x:c>
      <x:c r="D29" s="20" t="str">
        <x:v>业务用户/管理员</x:v>
      </x:c>
      <x:c r="E29" s="24" t="str">
        <x:v>P1</x:v>
      </x:c>
      <x:c r="F29" s="20" t="str">
        <x:v>产品化</x:v>
      </x:c>
      <x:c r="G29" s="23" t="str">
        <x:v>需增强</x:v>
      </x:c>
      <x:c r="H29" s="20" t="str">
        <x:v>展示当前会话进度，而不是混入所有历史运行队列。</x:v>
      </x:c>
      <x:c r="I29" s="20" t="str">
        <x:v>进展页默认只显示当前会话步骤；其他运行中任务折叠。</x:v>
      </x:c>
      <x:c r="J29" s="20" t="str">
        <x:v>Canvas events/run queue</x:v>
      </x:c>
      <x:c r="K29" s="20" t="str">
        <x:v>Power Audit L19</x:v>
      </x:c>
    </x:row>
    <x:row r="30" ht="15" hidden="0" customHeight="1">
      <x:c r="A30" s="20" t="str">
        <x:v>交付物</x:v>
      </x:c>
      <x:c r="B30" s="20" t="str">
        <x:v>输出物</x:v>
      </x:c>
      <x:c r="C30" s="20" t="str">
        <x:v>真实 artifact 清单</x:v>
      </x:c>
      <x:c r="D30" s="20" t="str">
        <x:v>业务用户</x:v>
      </x:c>
      <x:c r="E30" s="22" t="str">
        <x:v>P0</x:v>
      </x:c>
      <x:c r="F30" s="20" t="str">
        <x:v>试点可用</x:v>
      </x:c>
      <x:c r="G30" s="23" t="str">
        <x:v>需增强</x:v>
      </x:c>
      <x:c r="H30" s="20" t="str">
        <x:v>只展示真实文件/结构化交付物，不把普通回复当输出物。</x:v>
      </x:c>
      <x:c r="I30" s="20" t="str">
        <x:v>HTML/Markdown/表格输出物可预览、下载。</x:v>
      </x:c>
      <x:c r="J30" s="20" t="str">
        <x:v>Artifact records</x:v>
      </x:c>
      <x:c r="K30" s="20" t="str">
        <x:v>Power Audit L20</x:v>
      </x:c>
    </x:row>
    <x:row r="31" ht="15" hidden="0" customHeight="1">
      <x:c r="A31" s="20" t="str">
        <x:v>交付物</x:v>
      </x:c>
      <x:c r="B31" s="20" t="str">
        <x:v>预览</x:v>
      </x:c>
      <x:c r="C31" s="20" t="str">
        <x:v>Markdown/HTML/Mermaid/代码预览</x:v>
      </x:c>
      <x:c r="D31" s="20" t="str">
        <x:v>业务用户</x:v>
      </x:c>
      <x:c r="E31" s="22" t="str">
        <x:v>P0</x:v>
      </x:c>
      <x:c r="F31" s="20" t="str">
        <x:v>试点可用</x:v>
      </x:c>
      <x:c r="G31" s="23" t="str">
        <x:v>需增强</x:v>
      </x:c>
      <x:c r="H31" s="20" t="str">
        <x:v>Markdown 正确渲染；HTML 全屏预览舒适且安全。</x:v>
      </x:c>
      <x:c r="I31" s="20" t="str">
        <x:v>预览、复制、下载、全屏按钮位置合理。</x:v>
      </x:c>
      <x:c r="J31" s="20" t="str">
        <x:v>renderer/sandbox</x:v>
      </x:c>
      <x:c r="K31" s="20" t="str">
        <x:v>Artifact Preview 需求</x:v>
      </x:c>
    </x:row>
    <x:row r="32" ht="15" hidden="0" customHeight="1">
      <x:c r="A32" s="20" t="str">
        <x:v>交付物</x:v>
      </x:c>
      <x:c r="B32" s="20" t="str">
        <x:v>归档</x:v>
      </x:c>
      <x:c r="C32" s="20" t="str">
        <x:v>交付物下载和归档</x:v>
      </x:c>
      <x:c r="D32" s="20" t="str">
        <x:v>业务用户/管理员</x:v>
      </x:c>
      <x:c r="E32" s="22" t="str">
        <x:v>P0</x:v>
      </x:c>
      <x:c r="F32" s="20" t="str">
        <x:v>试点可用</x:v>
      </x:c>
      <x:c r="G32" s="23" t="str">
        <x:v>需增强</x:v>
      </x:c>
      <x:c r="H32" s="20" t="str">
        <x:v>交付物支持本地下载、归档到会话。</x:v>
      </x:c>
      <x:c r="I32" s="20" t="str">
        <x:v>归档后历史会话可恢复交付物。</x:v>
      </x:c>
      <x:c r="J32" s="20" t="str">
        <x:v>Artifact API</x:v>
      </x:c>
      <x:c r="K32" s="20" t="str">
        <x:v>Demo Runbook L71-L76</x:v>
      </x:c>
    </x:row>
    <x:row r="33" ht="15" hidden="0" customHeight="1">
      <x:c r="A33" s="20" t="str">
        <x:v>交付物</x:v>
      </x:c>
      <x:c r="B33" s="20" t="str">
        <x:v>任务总结</x:v>
      </x:c>
      <x:c r="C33" s="20" t="str">
        <x:v>手动生成会话级总结</x:v>
      </x:c>
      <x:c r="D33" s="20" t="str">
        <x:v>业务用户</x:v>
      </x:c>
      <x:c r="E33" s="24" t="str">
        <x:v>P1</x:v>
      </x:c>
      <x:c r="F33" s="20" t="str">
        <x:v>产品化</x:v>
      </x:c>
      <x:c r="G33" s="23" t="str">
        <x:v>需增强</x:v>
      </x:c>
      <x:c r="H33" s="20" t="str">
        <x:v>总结不是机械拼接最近消息。</x:v>
      </x:c>
      <x:c r="I33" s="20" t="str">
        <x:v>生成/刷新总结后区分摘要、决策、待补充项、交付物清单。</x:v>
      </x:c>
      <x:c r="J33" s="20" t="str">
        <x:v>summary endpoint</x:v>
      </x:c>
      <x:c r="K33" s="20" t="str">
        <x:v>Power Audit L22</x:v>
      </x:c>
    </x:row>
    <x:row r="34" ht="15" hidden="0" customHeight="1">
      <x:c r="A34" s="20" t="str">
        <x:v>自动任务</x:v>
      </x:c>
      <x:c r="B34" s="20" t="str">
        <x:v>定时任务</x:v>
      </x:c>
      <x:c r="C34" s="20" t="str">
        <x:v>Cron/一次性/周期任务</x:v>
      </x:c>
      <x:c r="D34" s="20" t="str">
        <x:v>管理员/业务用户</x:v>
      </x:c>
      <x:c r="E34" s="24" t="str">
        <x:v>P1</x:v>
      </x:c>
      <x:c r="F34" s="20" t="str">
        <x:v>产品化</x:v>
      </x:c>
      <x:c r="G34" s="23" t="str">
        <x:v>需增强</x:v>
      </x:c>
      <x:c r="H34" s="20" t="str">
        <x:v>创建任务、暂停、恢复、立即运行，绑定员工与 Skill。</x:v>
      </x:c>
      <x:c r="I34" s="20" t="str">
        <x:v>任务列表展示状态、下次运行、最近结果。</x:v>
      </x:c>
      <x:c r="J34" s="20" t="str">
        <x:v>Jobs API</x:v>
      </x:c>
      <x:c r="K34" s="20" t="str">
        <x:v>Spec2 Jobs API</x:v>
      </x:c>
    </x:row>
    <x:row r="35" ht="15" hidden="0" customHeight="1">
      <x:c r="A35" s="20" t="str">
        <x:v>自动任务</x:v>
      </x:c>
      <x:c r="B35" s="20" t="str">
        <x:v>交付方式</x:v>
      </x:c>
      <x:c r="C35" s="20" t="str">
        <x:v>任务结果通知与归档</x:v>
      </x:c>
      <x:c r="D35" s="20" t="str">
        <x:v>管理员</x:v>
      </x:c>
      <x:c r="E35" s="27" t="str">
        <x:v>P2</x:v>
      </x:c>
      <x:c r="F35" s="20" t="str">
        <x:v>规模化</x:v>
      </x:c>
      <x:c r="G35" s="21" t="str">
        <x:v>应补齐</x:v>
      </x:c>
      <x:c r="H35" s="20" t="str">
        <x:v>支持本地归档，外部平台短期不重要。</x:v>
      </x:c>
      <x:c r="I35" s="20" t="str">
        <x:v>运行结束后自动生成交付物并进入审计。</x:v>
      </x:c>
      <x:c r="J35" s="20" t="str">
        <x:v>Jobs + Artifact</x:v>
      </x:c>
      <x:c r="K35" s="20" t="str">
        <x:v>用户优先级</x:v>
      </x:c>
    </x:row>
    <x:row r="36" ht="15" hidden="0" customHeight="1">
      <x:c r="A36" s="20" t="str">
        <x:v>管理</x:v>
      </x:c>
      <x:c r="B36" s="20" t="str">
        <x:v>组织权限</x:v>
      </x:c>
      <x:c r="C36" s="20" t="str">
        <x:v>用户/组织/租户管理视图</x:v>
      </x:c>
      <x:c r="D36" s="20" t="str">
        <x:v>管理员</x:v>
      </x:c>
      <x:c r="E36" s="22" t="str">
        <x:v>P0</x:v>
      </x:c>
      <x:c r="F36" s="20" t="str">
        <x:v>试点可用</x:v>
      </x:c>
      <x:c r="G36" s="23" t="str">
        <x:v>需增强</x:v>
      </x:c>
      <x:c r="H36" s="20" t="str">
        <x:v>补齐系统用户、组织、租户视图和权限边界。</x:v>
      </x:c>
      <x:c r="I36" s="20" t="str">
        <x:v>普通用户不可见管理功能，管理员可管理成员和租户。</x:v>
      </x:c>
      <x:c r="J36" s="20" t="str">
        <x:v>RBAC、Identity API</x:v>
      </x:c>
      <x:c r="K36" s="20" t="str">
        <x:v>用户需求</x:v>
      </x:c>
    </x:row>
    <x:row r="37" ht="15" hidden="0" customHeight="1">
      <x:c r="A37" s="20" t="str">
        <x:v>管理</x:v>
      </x:c>
      <x:c r="B37" s="20" t="str">
        <x:v>Dashboard</x:v>
      </x:c>
      <x:c r="C37" s="20" t="str">
        <x:v>租户级运营指标</x:v>
      </x:c>
      <x:c r="D37" s="20" t="str">
        <x:v>管理员</x:v>
      </x:c>
      <x:c r="E37" s="22" t="str">
        <x:v>P0</x:v>
      </x:c>
      <x:c r="F37" s="20" t="str">
        <x:v>试点可用</x:v>
      </x:c>
      <x:c r="G37" s="23" t="str">
        <x:v>需增强</x:v>
      </x:c>
      <x:c r="H37" s="20" t="str">
        <x:v>展示员工数、活跃用户、会话数、Token、文件量、Skill 使用、失败率、Runtime 健康。</x:v>
      </x:c>
      <x:c r="I37" s="20" t="str">
        <x:v>指标按租户过滤，支持时间范围。</x:v>
      </x:c>
      <x:c r="J37" s="20" t="str">
        <x:v>dashboard API</x:v>
      </x:c>
      <x:c r="K37" s="20" t="str">
        <x:v>Content Pack L99</x:v>
      </x:c>
    </x:row>
    <x:row r="38" ht="15" hidden="0" customHeight="1">
      <x:c r="A38" s="20" t="str">
        <x:v>管理</x:v>
      </x:c>
      <x:c r="B38" s="20" t="str">
        <x:v>审计日志</x:v>
      </x:c>
      <x:c r="C38" s="20" t="str">
        <x:v>资源级审计与导出</x:v>
      </x:c>
      <x:c r="D38" s="20" t="str">
        <x:v>管理员</x:v>
      </x:c>
      <x:c r="E38" s="22" t="str">
        <x:v>P0</x:v>
      </x:c>
      <x:c r="F38" s="20" t="str">
        <x:v>试点可用</x:v>
      </x:c>
      <x:c r="G38" s="23" t="str">
        <x:v>需增强</x:v>
      </x:c>
      <x:c r="H38" s="20" t="str">
        <x:v>支持按员工、Skill、文件、会话追踪。</x:v>
      </x:c>
      <x:c r="I38" s="20" t="str">
        <x:v>审计日志可搜索、过滤、导出。</x:v>
      </x:c>
      <x:c r="J38" s="20" t="str">
        <x:v>AuditLog</x:v>
      </x:c>
      <x:c r="K38" s="20" t="str">
        <x:v>Content Pack L15</x:v>
      </x:c>
    </x:row>
    <x:row r="39" ht="15" hidden="0" customHeight="1">
      <x:c r="A39" s="20" t="str">
        <x:v>管理</x:v>
      </x:c>
      <x:c r="B39" s="20" t="str">
        <x:v>隔离验证页</x:v>
      </x:c>
      <x:c r="C39" s="20" t="str">
        <x:v>租户隔离可视化证明</x:v>
      </x:c>
      <x:c r="D39" s="20" t="str">
        <x:v>管理员/客户 IT</x:v>
      </x:c>
      <x:c r="E39" s="22" t="str">
        <x:v>P0</x:v>
      </x:c>
      <x:c r="F39" s="20" t="str">
        <x:v>试点可用</x:v>
      </x:c>
      <x:c r="G39" s="21" t="str">
        <x:v>应补齐</x:v>
      </x:c>
      <x:c r="H39" s="20" t="str">
        <x:v>展示当前租户 Hermes home、文件根、会话空间、Skill 范围。</x:v>
      </x:c>
      <x:c r="I39" s="20" t="str">
        <x:v>demo-tenant-a/b 互不可见。</x:v>
      </x:c>
      <x:c r="J39" s="20" t="str">
        <x:v>quality gate</x:v>
      </x:c>
      <x:c r="K39" s="20" t="str">
        <x:v>Content Pack L100</x:v>
      </x:c>
    </x:row>
    <x:row r="40" ht="15" hidden="0" customHeight="1">
      <x:c r="A40" s="20" t="str">
        <x:v>Runtime</x:v>
      </x:c>
      <x:c r="B40" s="20" t="str">
        <x:v>Hermes Gateway</x:v>
      </x:c>
      <x:c r="C40" s="20" t="str">
        <x:v>health/capabilities/models/sessions 覆盖</x:v>
      </x:c>
      <x:c r="D40" s="20" t="str">
        <x:v>管理员</x:v>
      </x:c>
      <x:c r="E40" s="22" t="str">
        <x:v>P0</x:v>
      </x:c>
      <x:c r="F40" s="20" t="str">
        <x:v>试点可用</x:v>
      </x:c>
      <x:c r="G40" s="25" t="str">
        <x:v>已成型</x:v>
      </x:c>
      <x:c r="H40" s="20" t="str">
        <x:v>OpenAtlas 作为 Hermes Gateway 外层产品层。</x:v>
      </x:c>
      <x:c r="I40" s="20" t="str">
        <x:v>health、models、capabilities、sessions、chat stream 可稳定返回。</x:v>
      </x:c>
      <x:c r="J40" s="20" t="str">
        <x:v>Hermes client</x:v>
      </x:c>
      <x:c r="K40" s="20" t="str">
        <x:v>Quality Gate L3-L20</x:v>
      </x:c>
    </x:row>
    <x:row r="41" ht="15" hidden="0" customHeight="1">
      <x:c r="A41" s="20" t="str">
        <x:v>Runtime</x:v>
      </x:c>
      <x:c r="B41" s="20" t="str">
        <x:v>运行隔离</x:v>
      </x:c>
      <x:c r="C41" s="20" t="str">
        <x:v>每租户独立 Hermes Home/端口</x:v>
      </x:c>
      <x:c r="D41" s="20" t="str">
        <x:v>管理员/客户 IT</x:v>
      </x:c>
      <x:c r="E41" s="22" t="str">
        <x:v>P0</x:v>
      </x:c>
      <x:c r="F41" s="20" t="str">
        <x:v>试点可用</x:v>
      </x:c>
      <x:c r="G41" s="25" t="str">
        <x:v>已成型</x:v>
      </x:c>
      <x:c r="H41" s="20" t="str">
        <x:v>不污染本机 ~/.hermes，不静默 fallback。</x:v>
      </x:c>
      <x:c r="I41" s="20" t="str">
        <x:v>HERMES_HOME 在 ~/.openatlas 下，跨租户访问被拒绝。</x:v>
      </x:c>
      <x:c r="J41" s="20" t="str">
        <x:v>supervisor/start.sh</x:v>
      </x:c>
      <x:c r="K41" s="20" t="str">
        <x:v>Quality Gate L41-L50</x:v>
      </x:c>
    </x:row>
    <x:row r="42" ht="15" hidden="0" customHeight="1">
      <x:c r="A42" s="20" t="str">
        <x:v>Runtime</x:v>
      </x:c>
      <x:c r="B42" s="20" t="str">
        <x:v>审批与安全</x:v>
      </x:c>
      <x:c r="C42" s="20" t="str">
        <x:v>高危工具调用审批</x:v>
      </x:c>
      <x:c r="D42" s="20" t="str">
        <x:v>业务用户/管理员</x:v>
      </x:c>
      <x:c r="E42" s="24" t="str">
        <x:v>P1</x:v>
      </x:c>
      <x:c r="F42" s="20" t="str">
        <x:v>产品化</x:v>
      </x:c>
      <x:c r="G42" s="21" t="str">
        <x:v>应补齐</x:v>
      </x:c>
      <x:c r="H42" s="20" t="str">
        <x:v>终端、代码执行、文件变更等高危动作需要确认。</x:v>
      </x:c>
      <x:c r="I42" s="20" t="str">
        <x:v>前端展示一次/本会话/始终/拒绝审批选项。</x:v>
      </x:c>
      <x:c r="J42" s="20" t="str">
        <x:v>Hermes approval event</x:v>
      </x:c>
      <x:c r="K42" s="20" t="str">
        <x:v>用户问题分析</x:v>
      </x:c>
    </x:row>
    <x:row r="43" ht="15" hidden="0" customHeight="1">
      <x:c r="A43" s="20" t="str">
        <x:v>质量</x:v>
      </x:c>
      <x:c r="B43" s="20" t="str">
        <x:v>自动化测试</x:v>
      </x:c>
      <x:c r="C43" s="20" t="str">
        <x:v>主链路 Playwright E2E</x:v>
      </x:c>
      <x:c r="D43" s="20" t="str">
        <x:v>产品/研发</x:v>
      </x:c>
      <x:c r="E43" s="22" t="str">
        <x:v>P0</x:v>
      </x:c>
      <x:c r="F43" s="20" t="str">
        <x:v>试点可用</x:v>
      </x:c>
      <x:c r="G43" s="25" t="str">
        <x:v>已成型</x:v>
      </x:c>
      <x:c r="H43" s="20" t="str">
        <x:v>覆盖登录、工作台发消息、历史恢复、文件上传、群聊、Skill、协作方案。</x:v>
      </x:c>
      <x:c r="I43" s="20" t="str">
        <x:v>每次发版通过 product audit 和主链路 E2E。</x:v>
      </x:c>
      <x:c r="J43" s="20" t="str">
        <x:v>Playwright</x:v>
      </x:c>
      <x:c r="K43" s="20" t="str">
        <x:v>Product Audit</x:v>
      </x:c>
    </x:row>
    <x:row r="44" ht="15" hidden="0" customHeight="1">
      <x:c r="A44" s="20" t="str">
        <x:v>质量</x:v>
      </x:c>
      <x:c r="B44" s="20" t="str">
        <x:v>API Smoke</x:v>
      </x:c>
      <x:c r="C44" s="20" t="str">
        <x:v>核心 API 健康检查</x:v>
      </x:c>
      <x:c r="D44" s="20" t="str">
        <x:v>研发/管理员</x:v>
      </x:c>
      <x:c r="E44" s="22" t="str">
        <x:v>P0</x:v>
      </x:c>
      <x:c r="F44" s="20" t="str">
        <x:v>试点可用</x:v>
      </x:c>
      <x:c r="G44" s="25" t="str">
        <x:v>已成型</x:v>
      </x:c>
      <x:c r="H44" s="20" t="str">
        <x:v>覆盖 auth、employees、sessions、runtime、dashboard、skills、memory、jobs、audit、identity。</x:v>
      </x:c>
      <x:c r="I44" s="20" t="str">
        <x:v>质量门禁自动跑并输出报告。</x:v>
      </x:c>
      <x:c r="J44" s="20" t="str">
        <x:v>quality_gate.py</x:v>
      </x:c>
      <x:c r="K44" s="20" t="str">
        <x:v>Quality Gate L15-L20</x:v>
      </x:c>
    </x:row>
    <x:row r="45" ht="15" hidden="0" customHeight="1">
      <x:c r="A45" s="20" t="str">
        <x:v>质量</x:v>
      </x:c>
      <x:c r="B45" s="20" t="str">
        <x:v>鲁棒性</x:v>
      </x:c>
      <x:c r="C45" s="20" t="str">
        <x:v>SSE 中断/保存失败/重试兜底</x:v>
      </x:c>
      <x:c r="D45" s="20" t="str">
        <x:v>业务用户</x:v>
      </x:c>
      <x:c r="E45" s="24" t="str">
        <x:v>P1</x:v>
      </x:c>
      <x:c r="F45" s="20" t="str">
        <x:v>产品化</x:v>
      </x:c>
      <x:c r="G45" s="23" t="str">
        <x:v>需增强</x:v>
      </x:c>
      <x:c r="H45" s="20" t="str">
        <x:v>任务完成但前端 processing 不释放等问题要可恢复。</x:v>
      </x:c>
      <x:c r="I45" s="20" t="str">
        <x:v>SSE 中断后刷新可恢复消息和 artifact。</x:v>
      </x:c>
      <x:c r="J45" s="20" t="str">
        <x:v>chat-resilience spec</x:v>
      </x:c>
      <x:c r="K45" s="20" t="str">
        <x:v>Robustness L112-L167</x:v>
      </x:c>
    </x:row>
    <x:row r="46" ht="15" hidden="0" customHeight="1">
      <x:c r="A46" s="20" t="str">
        <x:v>演示</x:v>
      </x:c>
      <x:c r="B46" s="20" t="str">
        <x:v>演示内容包</x:v>
      </x:c>
      <x:c r="C46" s="20" t="str">
        <x:v>业务材料和预置数据</x:v>
      </x:c>
      <x:c r="D46" s="20" t="str">
        <x:v>销售/交付</x:v>
      </x:c>
      <x:c r="E46" s="24" t="str">
        <x:v>P1</x:v>
      </x:c>
      <x:c r="F46" s="20" t="str">
        <x:v>产品化</x:v>
      </x:c>
      <x:c r="G46" s="23" t="str">
        <x:v>需增强</x:v>
      </x:c>
      <x:c r="H46" s="20" t="str">
        <x:v>内置经营分析、合同、销售、HR、会议纪要材料。</x:v>
      </x:c>
      <x:c r="I46" s="20" t="str">
        <x:v>5 分钟新用户看到价值，20 分钟客户理解四大价值。</x:v>
      </x:c>
      <x:c r="J46" s="20" t="str">
        <x:v>seed_product_demo.py</x:v>
      </x:c>
      <x:c r="K46" s="20" t="str">
        <x:v>Demo Runbook L1-L42</x:v>
      </x:c>
    </x:row>
    <x:row r="47" ht="15" hidden="0" customHeight="1">
      <x:c r="A47" s="20" t="str">
        <x:v>演示</x:v>
      </x:c>
      <x:c r="B47" s="20" t="str">
        <x:v>试点成功度量</x:v>
      </x:c>
      <x:c r="C47" s="20" t="str">
        <x:v>下载/归档/活跃度统计</x:v>
      </x:c>
      <x:c r="D47" s="20" t="str">
        <x:v>管理层</x:v>
      </x:c>
      <x:c r="E47" s="24" t="str">
        <x:v>P1</x:v>
      </x:c>
      <x:c r="F47" s="20" t="str">
        <x:v>产品化</x:v>
      </x:c>
      <x:c r="G47" s="21" t="str">
        <x:v>应补齐</x:v>
      </x:c>
      <x:c r="H47" s="20" t="str">
        <x:v>衡量真实业务采用，而不是只看聊天次数。</x:v>
      </x:c>
      <x:c r="I47" s="20" t="str">
        <x:v>至少 60% 交付物被下载或归档。</x:v>
      </x:c>
      <x:c r="J47" s="20" t="str">
        <x:v>dashboard + artifact</x:v>
      </x:c>
      <x:c r="K47" s="20" t="str">
        <x:v>Content Pack L94-L100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9.66999816894531" hidden="0" customWidth="1"/>
    <x:col min="3" max="3" width="38" hidden="0" customWidth="1"/>
    <x:col min="4" max="4" width="25.889999389648438" hidden="0" customWidth="1"/>
    <x:col min="5" max="5" width="34.66999816894531" hidden="0" customWidth="1"/>
  </x:cols>
  <x:sheetData>
    <x:row r="1" ht="15" hidden="0" customHeight="1">
      <x:c r="A1" s="14" t="str">
        <x:v>能力支柱</x:v>
      </x:c>
      <x:c r="B1" s="14" t="str">
        <x:v>定义</x:v>
      </x:c>
      <x:c r="C1" s="14" t="str">
        <x:v>必须具备</x:v>
      </x:c>
      <x:c r="D1" s="14" t="str">
        <x:v>核心指标</x:v>
      </x:c>
      <x:c r="E1" s="14" t="str">
        <x:v>代表功能</x:v>
      </x:c>
    </x:row>
    <x:row r="2" ht="15" hidden="0" customHeight="1">
      <x:c r="A2" s="20" t="str">
        <x:v>员工可用</x:v>
      </x:c>
      <x:c r="B2" s="20" t="str">
        <x:v>用户从业务任务出发，直接选择或召唤数智员工。</x:v>
      </x:c>
      <x:c r="C2" s="20" t="str">
        <x:v>高频员工、员工详情、员工 Prompt、员工 Dock、@ 召唤</x:v>
      </x:c>
      <x:c r="D2" s="20" t="str">
        <x:v>新用户 5 分钟内跑通第一条任务</x:v>
      </x:c>
      <x:c r="E2" s="20" t="str">
        <x:v>文档/财务/法务/销售/市场/HR/运营/项目员工</x:v>
      </x:c>
    </x:row>
    <x:row r="3" ht="15" hidden="0" customHeight="1">
      <x:c r="A3" s="20" t="str">
        <x:v>能力可信</x:v>
      </x:c>
      <x:c r="B3" s="20" t="str">
        <x:v>用户和管理员知道模型使用了什么能力和上下文。</x:v>
      </x:c>
      <x:c r="C3" s="20" t="str">
        <x:v>上下文页、Skill 说明、健康检查、调用记录、来源追溯</x:v>
      </x:c>
      <x:c r="D3" s="20" t="str">
        <x:v>管理员能解释每次回答依据</x:v>
      </x:c>
      <x:c r="E3" s="20" t="str">
        <x:v>Skill Market、本轮上下文、文件片段、记忆注入</x:v>
      </x:c>
    </x:row>
    <x:row r="4" ht="15" hidden="0" customHeight="1">
      <x:c r="A4" s="20" t="str">
        <x:v>任务闭环</x:v>
      </x:c>
      <x:c r="B4" s="20" t="str">
        <x:v>聊天结果沉淀为可下载、可归档、可复用的业务交付物。</x:v>
      </x:c>
      <x:c r="C4" s="20" t="str">
        <x:v>任务状态、输出物、总结、下载、归档、继续追问</x:v>
      </x:c>
      <x:c r="D4" s="20" t="str">
        <x:v>60% 以上交付物被下载或归档</x:v>
      </x:c>
      <x:c r="E4" s="20" t="str">
        <x:v>HTML 看板、Markdown 报告、风险清单、行动计划</x:v>
      </x:c>
    </x:row>
    <x:row r="5" ht="15" hidden="0" customHeight="1">
      <x:c r="A5" s="20" t="str">
        <x:v>企业可管</x:v>
      </x:c>
      <x:c r="B5" s="20" t="str">
        <x:v>企业 IT/管理者能管理权限、隔离、审计、成本和运行健康。</x:v>
      </x:c>
      <x:c r="C5" s="20" t="str">
        <x:v>租户/组织/用户、Dashboard、审计、Runtime、隔离验证</x:v>
      </x:c>
      <x:c r="D5" s="20" t="str">
        <x:v>跨租户 403/404，Dashboard 指标完整</x:v>
      </x:c>
      <x:c r="E5" s="20" t="str">
        <x:v>组织权限、审计日志、Runtime 健康页、隔离页</x:v>
      </x:c>
    </x:row>
    <x:row r="6" ht="15" hidden="0" customHeight="1">
      <x:c r="A6" s="20" t="str">
        <x:v>协作复用</x:v>
      </x:c>
      <x:c r="B6" s="20" t="str">
        <x:v>多员工链路可以编排、保存、回放和复用。</x:v>
      </x:c>
      <x:c r="C6" s="20" t="str">
        <x:v>群聊接力、协作画布、协作方案库、事件回放</x:v>
      </x:c>
      <x:c r="D6" s="20" t="str">
        <x:v>协作方案创建新会话并恢复节点配置</x:v>
      </x:c>
      <x:c r="E6" s="20" t="str">
        <x:v>经营分析作战室、合同审查作战室、销售攻坚作战室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329999923706055" hidden="0" customWidth="1"/>
    <x:col min="2" max="2" width="9.4399995803833" hidden="0" customWidth="1"/>
    <x:col min="3" max="3" width="66.33000183105469" hidden="0" customWidth="1"/>
    <x:col min="4" max="4" width="42.220001220703125" hidden="0" customWidth="1"/>
    <x:col min="5" max="5" width="12.779999732971191" hidden="0" customWidth="1"/>
  </x:cols>
  <x:sheetData>
    <x:row r="1" ht="26.399999618530273" hidden="0" customHeight="1">
      <x:c r="A1" s="14" t="str">
        <x:v>优先级</x:v>
      </x:c>
      <x:c r="B1" s="14" t="str">
        <x:v>阶段目标</x:v>
      </x:c>
      <x:c r="C1" s="14" t="str">
        <x:v>关键任务</x:v>
      </x:c>
      <x:c r="D1" s="14" t="str">
        <x:v>验收结果</x:v>
      </x:c>
      <x:c r="E1" s="14" t="str">
        <x:v>建议负责人</x:v>
      </x:c>
    </x:row>
    <x:row r="2" ht="15" hidden="0" customHeight="1">
      <x:c r="A2" s="20" t="str">
        <x:v>P0</x:v>
      </x:c>
      <x:c r="B2" s="20" t="str">
        <x:v>试点可信可跑</x:v>
      </x:c>
      <x:c r="C2" s="20" t="str">
        <x:v>文件注入稳定、聊天流式收口、员工/Skill/记忆权限、Dashboard、审计、隔离验证、协作方案主链路</x:v>
      </x:c>
      <x:c r="D2" s="20" t="str">
        <x:v>3 条核心流程连续跑 10 次无串会话/无看不到文件/有真实交付物</x:v>
      </x:c>
      <x:c r="E2" s="20" t="str">
        <x:v>产品 + 后端 + 前端</x:v>
      </x:c>
    </x:row>
    <x:row r="3" ht="15" hidden="0" customHeight="1">
      <x:c r="A3" s="20" t="str">
        <x:v>P0</x:v>
      </x:c>
      <x:c r="B3" s="20" t="str">
        <x:v>管理闭环</x:v>
      </x:c>
      <x:c r="C3" s="20" t="str">
        <x:v>用户/组织/租户管理、普通用户/管理员权限隔离、Runtime 健康、API smoke</x:v>
      </x:c>
      <x:c r="D3" s="20" t="str">
        <x:v>管理员能解释每次回答依据和运行状态</x:v>
      </x:c>
      <x:c r="E3" s="20" t="str">
        <x:v>后端 + 管理后台</x:v>
      </x:c>
    </x:row>
    <x:row r="4" ht="15" hidden="0" customHeight="1">
      <x:c r="A4" s="20" t="str">
        <x:v>P1</x:v>
      </x:c>
      <x:c r="B4" s="20" t="str">
        <x:v>产品化增强</x:v>
      </x:c>
      <x:c r="C4" s="20" t="str">
        <x:v>Skill 健康检查、手动总结、文件生命周期、任务归档、自动任务、审批状态机</x:v>
      </x:c>
      <x:c r="D4" s="20" t="str">
        <x:v>业务用户能把输出物下载归档并继续追问</x:v>
      </x:c>
      <x:c r="E4" s="20" t="str">
        <x:v>产品 + 前端</x:v>
      </x:c>
    </x:row>
    <x:row r="5" ht="15" hidden="0" customHeight="1">
      <x:c r="A5" s="20" t="str">
        <x:v>P1</x:v>
      </x:c>
      <x:c r="B5" s="20" t="str">
        <x:v>体验与复用</x:v>
      </x:c>
      <x:c r="C5" s="20" t="str">
        <x:v>协作画布执行可视化、方案库治理、右键会话菜单、首页 Dock 个性化</x:v>
      </x:c>
      <x:c r="D5" s="20" t="str">
        <x:v>常见任务从首页到交付物 5 分钟内完成</x:v>
      </x:c>
      <x:c r="E5" s="20" t="str">
        <x:v>前端 + 产品设计</x:v>
      </x:c>
    </x:row>
    <x:row r="6" ht="15" hidden="0" customHeight="1">
      <x:c r="A6" s="20" t="str">
        <x:v>P2</x:v>
      </x:c>
      <x:c r="B6" s="20" t="str">
        <x:v>规模化治理</x:v>
      </x:c>
      <x:c r="C6" s="20" t="str">
        <x:v>多租户资源配额、成本中心、审计导出、失败率分析、外部通知、长期文件保留策略</x:v>
      </x:c>
      <x:c r="D6" s="20" t="str">
        <x:v>可支持企业试点扩到多部门使用</x:v>
      </x:c>
      <x:c r="E6" s="20" t="str">
        <x:v>平台 + 运维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4399995803833" hidden="0" customWidth="1"/>
    <x:col min="2" max="2" width="29.440000534057617" hidden="0" customWidth="1"/>
    <x:col min="3" max="3" width="255" hidden="0" customWidth="1"/>
    <x:col min="4" max="4" width="255" hidden="0" customWidth="1"/>
    <x:col min="5" max="5" width="12.890000343322754" hidden="0" customWidth="1"/>
  </x:cols>
  <x:sheetData>
    <x:row r="1" ht="15" hidden="0" customHeight="1">
      <x:c r="A1" s="14" t="str">
        <x:v>场景</x:v>
      </x:c>
      <x:c r="B1" s="14" t="str">
        <x:v>输入/前置条件</x:v>
      </x:c>
      <x:c r="C1" s="14" t="str">
        <x:v>操作步骤</x:v>
      </x:c>
      <x:c r="D1" s="14" t="str">
        <x:v>通过标准</x:v>
      </x:c>
      <x:c r="E1" s="14" t="str">
        <x:v>关联能力</x:v>
      </x:c>
    </x:row>
    <x:row r="2" ht="15" hidden="0" customHeight="1">
      <x:c r="A2" s="20" t="str">
        <x:v>经营分析闭环</x:v>
      </x:c>
      <x:c r="B2" s="20" t="str">
        <x:v>上传经营简报 DOCX 与销售管道 CSV</x:v>
      </x:c>
      <x:c r="C2" s="20" t="str">
        <x:v>财务 -&gt; 法务 -&gt; 运营接力生成报告和 HTML 看板</x:v>
      </x:c>
      <x:c r="D2" s="20" t="str">
        <x:v>文件内容被引用；各员工按角色发言；输出物可下载归档</x:v>
      </x:c>
      <x:c r="E2" s="20" t="str">
        <x:v>员工可用/任务闭环</x:v>
      </x:c>
    </x:row>
    <x:row r="3" ht="15" hidden="0" customHeight="1">
      <x:c r="A3" s="20" t="str">
        <x:v>合同审查闭环</x:v>
      </x:c>
      <x:c r="B3" s="20" t="str">
        <x:v>上传代理商合同 Markdown/PDF</x:v>
      </x:c>
      <x:c r="C3" s="20" t="str">
        <x:v>法务识别风险，财务评估条款，销售给谈判边界</x:v>
      </x:c>
      <x:c r="D3" s="20" t="str">
        <x:v>风险表有条款依据；待确认问题明确；结果可归档</x:v>
      </x:c>
      <x:c r="E3" s="20" t="str">
        <x:v>能力可信/任务闭环</x:v>
      </x:c>
    </x:row>
    <x:row r="4" ht="15" hidden="0" customHeight="1">
      <x:c r="A4" s="20" t="str">
        <x:v>销售方案闭环</x:v>
      </x:c>
      <x:c r="B4" s="20" t="str">
        <x:v>上传客户背景和线索表</x:v>
      </x:c>
      <x:c r="C4" s="20" t="str">
        <x:v>市场竞品 -&gt; 销售方案 -&gt; 财务报价边界</x:v>
      </x:c>
      <x:c r="D4" s="20" t="str">
        <x:v>输出方案、竞品对比、推进计划，能继续追问改写</x:v>
      </x:c>
      <x:c r="E4" s="20" t="str">
        <x:v>协作复用/交付物</x:v>
      </x:c>
    </x:row>
    <x:row r="5" ht="15" hidden="0" customHeight="1">
      <x:c r="A5" s="20" t="str">
        <x:v>HR 招聘闭环</x:v>
      </x:c>
      <x:c r="B5" s="20" t="str">
        <x:v>上传 JD 与候选人清单</x:v>
      </x:c>
      <x:c r="C5" s="20" t="str">
        <x:v>HR 初筛，法务检查用工风险</x:v>
      </x:c>
      <x:c r="D5" s="20" t="str">
        <x:v>不使用歧视维度；输出候选人排序和面试问题</x:v>
      </x:c>
      <x:c r="E5" s="20" t="str">
        <x:v>员工可用/合规</x:v>
      </x:c>
    </x:row>
    <x:row r="6" ht="15" hidden="0" customHeight="1">
      <x:c r="A6" s="20" t="str">
        <x:v>会议纪要闭环</x:v>
      </x:c>
      <x:c r="B6" s="20" t="str">
        <x:v>上传会议纪要或转写文本</x:v>
      </x:c>
      <x:c r="C6" s="20" t="str">
        <x:v>项目交付经理整理决议、待办、风险</x:v>
      </x:c>
      <x:c r="D6" s="20" t="str">
        <x:v>输出责任人、截止时间、阻塞、下次议题</x:v>
      </x:c>
      <x:c r="E6" s="20" t="str">
        <x:v>任务闭环</x:v>
      </x:c>
    </x:row>
    <x:row r="7" ht="15" hidden="0" customHeight="1">
      <x:c r="A7" s="20" t="str">
        <x:v>隔离验证</x:v>
      </x:c>
      <x:c r="B7" s="20" t="str">
        <x:v>demo-tenant-a 与 demo-tenant-b</x:v>
      </x:c>
      <x:c r="C7" s="20" t="str">
        <x:v>分别创建员工、文件、记忆、会话并交叉访问</x:v>
      </x:c>
      <x:c r="D7" s="20" t="str">
        <x:v>跨租户 API 返回 403/404，前端不可见，Hermes home 不串</x:v>
      </x:c>
      <x:c r="E7" s="20" t="str">
        <x:v>企业可管</x:v>
      </x:c>
    </x:row>
    <x:row r="8" ht="15" hidden="0" customHeight="1">
      <x:c r="A8" s="20" t="str">
        <x:v>Skill 对账</x:v>
      </x:c>
      <x:c r="B8" s="20" t="str">
        <x:v>Skills Hub 搜索并安装 Skill</x:v>
      </x:c>
      <x:c r="C8" s="20" t="str">
        <x:v>安装、绑定员工、发起会话</x:v>
      </x:c>
      <x:c r="D8" s="20" t="str">
        <x:v>只展示 Hermes 可安装 Skill；上下文显示实际注入；失败有错误记录</x:v>
      </x:c>
      <x:c r="E8" s="20" t="str">
        <x:v>能力可信</x:v>
      </x:c>
    </x:row>
    <x:row r="9" ht="15" hidden="0" customHeight="1">
      <x:c r="A9" s="20" t="str">
        <x:v>协作方案复用</x:v>
      </x:c>
      <x:c r="B9" s="20" t="str">
        <x:v>已有协作画布节点配置</x:v>
      </x:c>
      <x:c r="C9" s="20" t="str">
        <x:v>保存方案并从方案库创建新会话</x:v>
      </x:c>
      <x:c r="D9" s="20" t="str">
        <x:v>节点、Skill、输出类型、失败策略恢复；可继续执行</x:v>
      </x:c>
      <x:c r="E9" s="20" t="str">
        <x:v>协作复用</x:v>
      </x:c>
    </x:row>
    <x:row r="10" ht="15" hidden="0" customHeight="1">
      <x:c r="A10" s="20" t="str">
        <x:v>SSE 鲁棒性</x:v>
      </x:c>
      <x:c r="B10" s="20" t="str">
        <x:v>模拟网络中断或后端完成但前端未收到 done</x:v>
      </x:c>
      <x:c r="C10" s="20" t="str">
        <x:v>刷新页面并重新拉取会话</x:v>
      </x:c>
      <x:c r="D10" s="20" t="str">
        <x:v>消息、输出物、任务状态从数据库恢复，输入框可用</x:v>
      </x:c>
      <x:c r="E10" s="20" t="str">
        <x:v>质量/鲁棒性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8.33000183105469" hidden="0" customWidth="1"/>
    <x:col min="3" max="3" width="255" hidden="0" customWidth="1"/>
    <x:col min="4" max="4" width="13.890000343322754" hidden="0" customWidth="1"/>
  </x:cols>
  <x:sheetData>
    <x:row r="1" ht="15" hidden="0" customHeight="1">
      <x:c r="A1" s="14" t="str">
        <x:v>文档</x:v>
      </x:c>
      <x:c r="B1" s="14" t="str">
        <x:v>路径</x:v>
      </x:c>
      <x:c r="C1" s="14" t="str">
        <x:v>关键内容</x:v>
      </x:c>
      <x:c r="D1" s="14" t="str">
        <x:v>用途</x:v>
      </x:c>
    </x:row>
    <x:row r="2" ht="15" hidden="0" customHeight="1">
      <x:c r="A2" s="20" t="str">
        <x:v>OpenAtlas 企业试点内容包</x:v>
      </x:c>
      <x:c r="B2" s="20" t="str">
        <x:v>docs/product/OPENATLAS-CONTENT-PACK.md</x:v>
      </x:c>
      <x:c r="C2" s="20" t="str">
        <x:v>定位、四大价值、目标客户、试点成功标准</x:v>
      </x:c>
      <x:c r="D2" s="20" t="str">
        <x:v>产品定位与验收口径</x:v>
      </x:c>
    </x:row>
    <x:row r="3" ht="15" hidden="0" customHeight="1">
      <x:c r="A3" s="20" t="str">
        <x:v>数智员工与 Skill 目录</x:v>
      </x:c>
      <x:c r="B3" s="20" t="str">
        <x:v>docs/product/DIGITAL-WORKFORCE-CATALOG.md</x:v>
      </x:c>
      <x:c r="C3" s="20" t="str">
        <x:v>8 类推荐员工、业务化 Skill、协作方案</x:v>
      </x:c>
      <x:c r="D3" s="20" t="str">
        <x:v>功能清单主体</x:v>
      </x:c>
    </x:row>
    <x:row r="4" ht="15" hidden="0" customHeight="1">
      <x:c r="A4" s="20" t="str">
        <x:v>OpenAtlas 演示手册</x:v>
      </x:c>
      <x:c r="B4" s="20" t="str">
        <x:v>docs/product/DEMO-RUNBOOK.md</x:v>
      </x:c>
      <x:c r="C4" s="20" t="str">
        <x:v>5 条演示闭环、客户问题回答</x:v>
      </x:c>
      <x:c r="D4" s="20" t="str">
        <x:v>业务场景与验收点</x:v>
      </x:c>
    </x:row>
    <x:row r="5" ht="15" hidden="0" customHeight="1">
      <x:c r="A5" s="20" t="str">
        <x:v>Power User Audit</x:v>
      </x:c>
      <x:c r="B5" s="20" t="str">
        <x:v>output/playwright/power-user-audit-report.md</x:v>
      </x:c>
      <x:c r="C5" s="20" t="str">
        <x:v>重度用户视角：上下文、进展、输出物、会话命名、总结</x:v>
      </x:c>
      <x:c r="D5" s="20" t="str">
        <x:v>体验规则</x:v>
      </x:c>
    </x:row>
    <x:row r="6" ht="15" hidden="0" customHeight="1">
      <x:c r="A6" s="20" t="str">
        <x:v>Dev Stack And Quality Gate</x:v>
      </x:c>
      <x:c r="B6" s="20" t="str">
        <x:v>docs/DEV-STACK-QUALITY-GATE.md</x:v>
      </x:c>
      <x:c r="C6" s="20" t="str">
        <x:v>Hermes 隔离、API smoke、租户隔离、E2E</x:v>
      </x:c>
      <x:c r="D6" s="20" t="str">
        <x:v>质量与隔离标准</x:v>
      </x:c>
    </x:row>
    <x:row r="7" ht="15" hidden="0" customHeight="1">
      <x:c r="A7" s="20" t="str">
        <x:v>Canvas Main Chain Report</x:v>
      </x:c>
      <x:c r="B7" s="20" t="str">
        <x:v>frontend/output/playwright/canvas-main-chain-report.md</x:v>
      </x:c>
      <x:c r="C7" s="20" t="str">
        <x:v>Hub、节点配置、协作方案保存/复用通过</x:v>
      </x:c>
      <x:c r="D7" s="20" t="str">
        <x:v>协作画布主链路</x:v>
      </x:c>
    </x:row>
    <x:row r="8" ht="15" hidden="0" customHeight="1">
      <x:c r="A8" s="20" t="str">
        <x:v>2026-06-06 Review</x:v>
      </x:c>
      <x:c r="B8" s="20" t="str">
        <x:v>docs/REVIEW-2026-06-06.md</x:v>
      </x:c>
      <x:c r="C8" s="20" t="str">
        <x:v>runtime fail-closed、Skill/Memory 权限、CORS、安全、类型契约</x:v>
      </x:c>
      <x:c r="D8" s="20" t="str">
        <x:v>风险与治理要求</x:v>
      </x:c>
    </x:row>
  </x:sheetData>
  <x:pageMargins left="0.7" right="0.7" top="0.75" bottom="0.75" header="0.3" footer="0.3"/>
</x:worksheet>
</file>